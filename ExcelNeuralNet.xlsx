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ver\Desktop\"/>
    </mc:Choice>
  </mc:AlternateContent>
  <xr:revisionPtr revIDLastSave="0" documentId="8_{EF857CF7-D576-4CDD-B5A7-F6FB63953FD1}" xr6:coauthVersionLast="47" xr6:coauthVersionMax="47" xr10:uidLastSave="{00000000-0000-0000-0000-000000000000}"/>
  <bookViews>
    <workbookView xWindow="25695" yWindow="0" windowWidth="26010" windowHeight="20985" activeTab="1" xr2:uid="{CBCB0F3B-8751-4800-B7DD-9671BC6F69D9}"/>
  </bookViews>
  <sheets>
    <sheet name="Display" sheetId="1" r:id="rId1"/>
    <sheet name="Pesi" sheetId="2" r:id="rId2"/>
    <sheet name="Allenamento" sheetId="3" r:id="rId3"/>
  </sheets>
  <definedNames>
    <definedName name="solver_adj" localSheetId="1" hidden="1">Pesi!$A$1:$Y$5,Pesi!$AA$1:$AA$5,Pesi!$A$10:$E$11,Pesi!$AB$10:$AB$11</definedName>
    <definedName name="solver_cvg" localSheetId="2" hidden="1">0.0001</definedName>
    <definedName name="solver_cvg" localSheetId="1" hidden="1">0.0001</definedName>
    <definedName name="solver_drv" localSheetId="2" hidden="1">2</definedName>
    <definedName name="solver_drv" localSheetId="1" hidden="1">2</definedName>
    <definedName name="solver_eng" localSheetId="2" hidden="1">1</definedName>
    <definedName name="solver_eng" localSheetId="1" hidden="1">1</definedName>
    <definedName name="solver_est" localSheetId="2" hidden="1">1</definedName>
    <definedName name="solver_est" localSheetId="1" hidden="1">1</definedName>
    <definedName name="solver_itr" localSheetId="2" hidden="1">2147483647</definedName>
    <definedName name="solver_itr" localSheetId="1" hidden="1">2147483647</definedName>
    <definedName name="solver_lhs1" localSheetId="1" hidden="1">Pesi!$A$10:$E$11</definedName>
    <definedName name="solver_lhs2" localSheetId="1" hidden="1">Pesi!$A$10:$E$11</definedName>
    <definedName name="solver_lhs3" localSheetId="1" hidden="1">Pesi!$A$1:$Y$5</definedName>
    <definedName name="solver_lhs4" localSheetId="1" hidden="1">Pesi!$A$1:$Y$5</definedName>
    <definedName name="solver_lhs5" localSheetId="1" hidden="1">Pesi!$AA$1:$AA$5</definedName>
    <definedName name="solver_lhs6" localSheetId="1" hidden="1">Pesi!$AA$1:$AA$5</definedName>
    <definedName name="solver_lhs7" localSheetId="1" hidden="1">Pesi!$AB$10:$AB$11</definedName>
    <definedName name="solver_lhs8" localSheetId="1" hidden="1">Pesi!$AB$10:$AB$11</definedName>
    <definedName name="solver_mip" localSheetId="2" hidden="1">2147483647</definedName>
    <definedName name="solver_mip" localSheetId="1" hidden="1">2147483647</definedName>
    <definedName name="solver_mni" localSheetId="2" hidden="1">30</definedName>
    <definedName name="solver_mni" localSheetId="1" hidden="1">30</definedName>
    <definedName name="solver_mrt" localSheetId="2" hidden="1">0.075</definedName>
    <definedName name="solver_mrt" localSheetId="1" hidden="1">0.075</definedName>
    <definedName name="solver_msl" localSheetId="2" hidden="1">2</definedName>
    <definedName name="solver_msl" localSheetId="1" hidden="1">2</definedName>
    <definedName name="solver_neg" localSheetId="2" hidden="1">2</definedName>
    <definedName name="solver_neg" localSheetId="1" hidden="1">2</definedName>
    <definedName name="solver_nod" localSheetId="2" hidden="1">2147483647</definedName>
    <definedName name="solver_nod" localSheetId="1" hidden="1">2147483647</definedName>
    <definedName name="solver_num" localSheetId="2" hidden="1">0</definedName>
    <definedName name="solver_num" localSheetId="1" hidden="1">8</definedName>
    <definedName name="solver_nwt" localSheetId="2" hidden="1">1</definedName>
    <definedName name="solver_nwt" localSheetId="1" hidden="1">1</definedName>
    <definedName name="solver_opt" localSheetId="2" hidden="1">Allenamento!$AK$2</definedName>
    <definedName name="solver_opt" localSheetId="1" hidden="1">Pesi!$AD$11</definedName>
    <definedName name="solver_pre" localSheetId="2" hidden="1">0.000001</definedName>
    <definedName name="solver_pre" localSheetId="1" hidden="1">0.0001</definedName>
    <definedName name="solver_rbv" localSheetId="2" hidden="1">2</definedName>
    <definedName name="solver_rbv" localSheetId="1" hidden="1">2</definedName>
    <definedName name="solver_rel1" localSheetId="1" hidden="1">1</definedName>
    <definedName name="solver_rel2" localSheetId="1" hidden="1">3</definedName>
    <definedName name="solver_rel3" localSheetId="1" hidden="1">1</definedName>
    <definedName name="solver_rel4" localSheetId="1" hidden="1">3</definedName>
    <definedName name="solver_rel5" localSheetId="1" hidden="1">1</definedName>
    <definedName name="solver_rel6" localSheetId="1" hidden="1">3</definedName>
    <definedName name="solver_rel7" localSheetId="1" hidden="1">1</definedName>
    <definedName name="solver_rel8" localSheetId="1" hidden="1">3</definedName>
    <definedName name="solver_rhs1" localSheetId="1" hidden="1">10</definedName>
    <definedName name="solver_rhs2" localSheetId="1" hidden="1">-10</definedName>
    <definedName name="solver_rhs3" localSheetId="1" hidden="1">10</definedName>
    <definedName name="solver_rhs4" localSheetId="1" hidden="1">-10</definedName>
    <definedName name="solver_rhs5" localSheetId="1" hidden="1">10</definedName>
    <definedName name="solver_rhs6" localSheetId="1" hidden="1">-10</definedName>
    <definedName name="solver_rhs7" localSheetId="1" hidden="1">10</definedName>
    <definedName name="solver_rhs8" localSheetId="1" hidden="1">-10</definedName>
    <definedName name="solver_rlx" localSheetId="2" hidden="1">2</definedName>
    <definedName name="solver_rlx" localSheetId="1" hidden="1">2</definedName>
    <definedName name="solver_rsd" localSheetId="2" hidden="1">0</definedName>
    <definedName name="solver_rsd" localSheetId="1" hidden="1">0</definedName>
    <definedName name="solver_scl" localSheetId="2" hidden="1">2</definedName>
    <definedName name="solver_scl" localSheetId="1" hidden="1">2</definedName>
    <definedName name="solver_sho" localSheetId="2" hidden="1">2</definedName>
    <definedName name="solver_sho" localSheetId="1" hidden="1">2</definedName>
    <definedName name="solver_ssz" localSheetId="2" hidden="1">100</definedName>
    <definedName name="solver_ssz" localSheetId="1" hidden="1">100</definedName>
    <definedName name="solver_tim" localSheetId="2" hidden="1">2147483647</definedName>
    <definedName name="solver_tim" localSheetId="1" hidden="1">2147483647</definedName>
    <definedName name="solver_tol" localSheetId="2" hidden="1">0.01</definedName>
    <definedName name="solver_tol" localSheetId="1" hidden="1">0.01</definedName>
    <definedName name="solver_typ" localSheetId="2" hidden="1">2</definedName>
    <definedName name="solver_typ" localSheetId="1" hidden="1">2</definedName>
    <definedName name="solver_val" localSheetId="2" hidden="1">0</definedName>
    <definedName name="solver_val" localSheetId="1" hidden="1">0</definedName>
    <definedName name="solver_ver" localSheetId="2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" i="3" l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1" i="1"/>
  <c r="G12" i="1"/>
  <c r="G10" i="1"/>
  <c r="G9" i="1"/>
  <c r="G8" i="1"/>
  <c r="G7" i="1"/>
  <c r="G6" i="1"/>
  <c r="G5" i="1"/>
  <c r="G4" i="1"/>
  <c r="G3" i="1"/>
  <c r="G2" i="1"/>
  <c r="G1" i="1"/>
  <c r="AB3" i="3" l="1" a="1"/>
  <c r="AB3" i="3" s="1"/>
  <c r="AB2" i="3" a="1"/>
  <c r="AB2" i="3" s="1"/>
  <c r="I1" i="1" a="1"/>
  <c r="I1" i="1" s="1"/>
  <c r="AF3" i="3" l="1"/>
  <c r="AD3" i="3"/>
  <c r="AC3" i="3"/>
  <c r="AE3" i="3"/>
  <c r="AF2" i="3"/>
  <c r="AE2" i="3"/>
  <c r="AD2" i="3"/>
  <c r="AC2" i="3"/>
  <c r="I5" i="1"/>
  <c r="I4" i="1"/>
  <c r="I3" i="1"/>
  <c r="I2" i="1"/>
  <c r="AG2" i="3" l="1" a="1"/>
  <c r="AG2" i="3" s="1"/>
  <c r="AG3" i="3" a="1"/>
  <c r="AG3" i="3" s="1"/>
  <c r="K1" i="1" a="1"/>
  <c r="K1" i="1" s="1"/>
  <c r="AH2" i="3" l="1"/>
  <c r="AH3" i="3"/>
  <c r="K2" i="1"/>
  <c r="AI3" i="3" l="1"/>
  <c r="AK2" i="3" s="1"/>
  <c r="AD11" i="2" s="1"/>
</calcChain>
</file>

<file path=xl/sharedStrings.xml><?xml version="1.0" encoding="utf-8"?>
<sst xmlns="http://schemas.openxmlformats.org/spreadsheetml/2006/main" count="37" uniqueCount="32">
  <si>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</si>
  <si>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</si>
  <si>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</si>
  <si>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</si>
  <si>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</si>
  <si>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</si>
  <si>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</si>
  <si>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</si>
  <si>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</si>
  <si>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</si>
  <si>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</si>
  <si>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</si>
  <si>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</si>
  <si>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</si>
  <si>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</si>
  <si>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</si>
  <si>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</si>
  <si>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</si>
  <si>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</si>
  <si>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</si>
  <si>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</si>
  <si>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</si>
  <si>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</si>
  <si>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</si>
  <si>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</si>
  <si>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Target 0</t>
  </si>
  <si>
    <t>Target 1</t>
  </si>
  <si>
    <t>HL</t>
  </si>
  <si>
    <t>OR</t>
  </si>
  <si>
    <t>ERRORE</t>
  </si>
  <si>
    <t>Errore TOT</t>
  </si>
  <si>
    <t>ERRORE 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</si>
</sst>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FCFCFC"/>
      <name val="Courier New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3" fillId="0" borderId="0" xfId="0" applyFont="1"/>
    <xf numFmtId="0" fontId="1" fillId="0" borderId="0" xfId="0" applyFont="1"/>
    <xf numFmtId="0" fontId="0" fillId="0" borderId="0" xfId="0" applyBorder="1"/>
    <xf numFmtId="0" fontId="0" fillId="0" borderId="1" xfId="0" applyFill="1" applyBorder="1"/>
    <xf numFmtId="0" fontId="0" fillId="0" borderId="2" xfId="0" applyBorder="1"/>
    <xf numFmtId="0" fontId="0" fillId="0" borderId="1" xfId="0" applyFont="1" applyBorder="1"/>
  </cellXfs>
  <cellStyles count="1">
    <cellStyle name="Normale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E5AC9-AEDC-483E-BB3F-FF528946285C}">
  <dimension ref="A1:K25"/>
  <sheetViews>
    <sheetView workbookViewId="0">
      <selection activeCell="J16" sqref="J16"/>
    </sheetView>
  </sheetViews>
  <sheetFormatPr defaultRowHeight="15" x14ac:dyDescent="0.25"/>
  <cols>
    <col min="1" max="5" width="5" customWidth="1"/>
    <col min="7" max="7" width="5" customWidth="1"/>
    <col min="8" max="8" width="16.85546875" customWidth="1"/>
    <col min="13" max="13" width="9.140625" customWidth="1"/>
  </cols>
  <sheetData>
    <row r="1" spans="1:11" ht="26.25" customHeight="1" x14ac:dyDescent="0.25">
      <c r="A1" s="1"/>
      <c r="B1" s="1"/>
      <c r="C1" s="1">
        <v>1</v>
      </c>
      <c r="D1" s="1"/>
      <c r="E1" s="1"/>
      <c r="G1" s="1">
        <f>A1</f>
        <v>0</v>
      </c>
      <c r="H1" s="3"/>
      <c r="I1" s="1">
        <f t="array" ref="I1:I5">1 / (1 + EXP(-(MMULT(Pesi!A1:Y5, G1:G25) + Pesi!AA1:AA5)))</f>
        <v>0.99999628043046862</v>
      </c>
      <c r="K1" s="1">
        <f t="array" ref="K1:K2">1 / (1 + EXP(-(MMULT(Pesi!A10:E11, I1:I5) + Pesi!AB10:AB11)))</f>
        <v>9.4699224642935966E-7</v>
      </c>
    </row>
    <row r="2" spans="1:11" ht="26.25" customHeight="1" x14ac:dyDescent="0.25">
      <c r="A2" s="1"/>
      <c r="B2" s="1">
        <v>1</v>
      </c>
      <c r="C2" s="1">
        <v>1</v>
      </c>
      <c r="D2" s="1"/>
      <c r="E2" s="1"/>
      <c r="G2" s="1">
        <f>B1</f>
        <v>0</v>
      </c>
      <c r="I2" s="1">
        <v>1.4034451143950928E-8</v>
      </c>
      <c r="K2" s="1">
        <v>0.99994231404873057</v>
      </c>
    </row>
    <row r="3" spans="1:11" ht="26.25" customHeight="1" x14ac:dyDescent="0.25">
      <c r="A3" s="1"/>
      <c r="B3" s="1"/>
      <c r="C3" s="1">
        <v>1</v>
      </c>
      <c r="D3" s="1"/>
      <c r="E3" s="1"/>
      <c r="G3" s="1">
        <f>C1</f>
        <v>1</v>
      </c>
      <c r="I3" s="1">
        <v>0.99999867717571223</v>
      </c>
    </row>
    <row r="4" spans="1:11" ht="26.25" customHeight="1" x14ac:dyDescent="0.25">
      <c r="A4" s="1"/>
      <c r="B4" s="1"/>
      <c r="C4" s="1">
        <v>1</v>
      </c>
      <c r="D4" s="1"/>
      <c r="E4" s="1"/>
      <c r="G4" s="1">
        <f>D1</f>
        <v>0</v>
      </c>
      <c r="I4" s="1">
        <v>4.6882466779086373E-3</v>
      </c>
    </row>
    <row r="5" spans="1:11" ht="26.25" customHeight="1" x14ac:dyDescent="0.25">
      <c r="A5" s="1"/>
      <c r="B5" s="1">
        <v>1</v>
      </c>
      <c r="C5" s="1">
        <v>1</v>
      </c>
      <c r="D5" s="1">
        <v>1</v>
      </c>
      <c r="E5" s="1"/>
      <c r="G5" s="1">
        <f>E1</f>
        <v>0</v>
      </c>
      <c r="I5" s="1">
        <v>3.0603135890632994E-6</v>
      </c>
    </row>
    <row r="6" spans="1:11" ht="26.25" customHeight="1" x14ac:dyDescent="0.25">
      <c r="G6" s="1">
        <f>A2</f>
        <v>0</v>
      </c>
    </row>
    <row r="7" spans="1:11" ht="26.25" customHeight="1" x14ac:dyDescent="0.25">
      <c r="G7" s="1">
        <f>B2</f>
        <v>1</v>
      </c>
    </row>
    <row r="8" spans="1:11" ht="26.25" customHeight="1" x14ac:dyDescent="0.25">
      <c r="G8" s="1">
        <f>C2</f>
        <v>1</v>
      </c>
    </row>
    <row r="9" spans="1:11" ht="26.25" customHeight="1" x14ac:dyDescent="0.25">
      <c r="G9" s="1">
        <f>D2</f>
        <v>0</v>
      </c>
    </row>
    <row r="10" spans="1:11" ht="26.25" customHeight="1" x14ac:dyDescent="0.25">
      <c r="G10" s="1">
        <f>E2</f>
        <v>0</v>
      </c>
    </row>
    <row r="11" spans="1:11" ht="26.25" customHeight="1" x14ac:dyDescent="0.25">
      <c r="G11" s="1">
        <f>A3</f>
        <v>0</v>
      </c>
    </row>
    <row r="12" spans="1:11" ht="26.25" customHeight="1" x14ac:dyDescent="0.25">
      <c r="G12" s="1">
        <f>B3</f>
        <v>0</v>
      </c>
    </row>
    <row r="13" spans="1:11" ht="26.25" customHeight="1" x14ac:dyDescent="0.25">
      <c r="G13" s="1">
        <f>C3</f>
        <v>1</v>
      </c>
    </row>
    <row r="14" spans="1:11" ht="26.25" customHeight="1" x14ac:dyDescent="0.25">
      <c r="G14" s="1">
        <f>D3</f>
        <v>0</v>
      </c>
    </row>
    <row r="15" spans="1:11" ht="26.25" customHeight="1" x14ac:dyDescent="0.25">
      <c r="G15" s="1">
        <f>E3</f>
        <v>0</v>
      </c>
    </row>
    <row r="16" spans="1:11" ht="26.25" customHeight="1" x14ac:dyDescent="0.25">
      <c r="G16" s="1">
        <f>A4</f>
        <v>0</v>
      </c>
    </row>
    <row r="17" spans="7:7" ht="26.25" customHeight="1" x14ac:dyDescent="0.25">
      <c r="G17" s="1">
        <f>B4</f>
        <v>0</v>
      </c>
    </row>
    <row r="18" spans="7:7" ht="26.25" customHeight="1" x14ac:dyDescent="0.25">
      <c r="G18" s="1">
        <f>C4</f>
        <v>1</v>
      </c>
    </row>
    <row r="19" spans="7:7" ht="26.25" customHeight="1" x14ac:dyDescent="0.25">
      <c r="G19" s="1">
        <f>D4</f>
        <v>0</v>
      </c>
    </row>
    <row r="20" spans="7:7" ht="26.25" customHeight="1" x14ac:dyDescent="0.25">
      <c r="G20" s="1">
        <f>E4</f>
        <v>0</v>
      </c>
    </row>
    <row r="21" spans="7:7" ht="26.25" customHeight="1" x14ac:dyDescent="0.25">
      <c r="G21" s="1">
        <f>A5</f>
        <v>0</v>
      </c>
    </row>
    <row r="22" spans="7:7" ht="26.25" customHeight="1" x14ac:dyDescent="0.25">
      <c r="G22" s="1">
        <f>B5</f>
        <v>1</v>
      </c>
    </row>
    <row r="23" spans="7:7" ht="26.25" customHeight="1" x14ac:dyDescent="0.25">
      <c r="G23" s="1">
        <f>C5</f>
        <v>1</v>
      </c>
    </row>
    <row r="24" spans="7:7" ht="26.25" customHeight="1" x14ac:dyDescent="0.25">
      <c r="G24" s="1">
        <f>D5</f>
        <v>1</v>
      </c>
    </row>
    <row r="25" spans="7:7" ht="26.25" customHeight="1" x14ac:dyDescent="0.25">
      <c r="G25" s="1">
        <f>E5</f>
        <v>0</v>
      </c>
    </row>
  </sheetData>
  <phoneticPr fontId="2" type="noConversion"/>
  <conditionalFormatting sqref="A1:E5">
    <cfRule type="cellIs" dxfId="0" priority="1" operator="equal">
      <formula>1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AE2D7-61D9-4F0C-A33B-56F000980E3F}">
  <dimension ref="A1:AD11"/>
  <sheetViews>
    <sheetView tabSelected="1" workbookViewId="0">
      <selection activeCell="H11" sqref="H11"/>
    </sheetView>
  </sheetViews>
  <sheetFormatPr defaultRowHeight="15" x14ac:dyDescent="0.25"/>
  <cols>
    <col min="1" max="25" width="5" customWidth="1"/>
    <col min="27" max="28" width="5" customWidth="1"/>
    <col min="30" max="30" width="13.28515625" customWidth="1"/>
  </cols>
  <sheetData>
    <row r="1" spans="1:30" ht="26.25" customHeight="1" x14ac:dyDescent="0.25">
      <c r="A1" s="1">
        <v>7.8692818971727418E-2</v>
      </c>
      <c r="B1" s="1">
        <v>4.261905444757938E-2</v>
      </c>
      <c r="C1" s="1">
        <v>-0.14788498947182996</v>
      </c>
      <c r="D1" s="1">
        <v>-2.2960571734768578E-2</v>
      </c>
      <c r="E1" s="1">
        <v>-6.7992791578332934E-2</v>
      </c>
      <c r="F1" s="1">
        <v>-1.3566386859567167E-2</v>
      </c>
      <c r="G1" s="1">
        <v>-0.1435993991786105</v>
      </c>
      <c r="H1" s="1">
        <v>2.6646235917760106</v>
      </c>
      <c r="I1" s="1">
        <v>-2.7481467682816709</v>
      </c>
      <c r="J1" s="1">
        <v>5.5792834165861172E-2</v>
      </c>
      <c r="K1" s="1">
        <v>4.7974350943453425E-2</v>
      </c>
      <c r="L1" s="1">
        <v>-2.6728678015370728</v>
      </c>
      <c r="M1" s="1">
        <v>2.5223285486959024</v>
      </c>
      <c r="N1" s="1">
        <v>-2.5929318016071212</v>
      </c>
      <c r="O1" s="1">
        <v>-2.7713172605672409E-2</v>
      </c>
      <c r="P1" s="1">
        <v>5.7089969178054839E-2</v>
      </c>
      <c r="Q1" s="1">
        <v>-2.639160219251818</v>
      </c>
      <c r="R1" s="1">
        <v>2.5506347061906016</v>
      </c>
      <c r="S1" s="1">
        <v>-2.6380391993849406</v>
      </c>
      <c r="T1" s="1">
        <v>8.215950018720955E-2</v>
      </c>
      <c r="U1" s="1">
        <v>5.3156369901693062E-3</v>
      </c>
      <c r="V1" s="1">
        <v>2.5777506469555189</v>
      </c>
      <c r="W1" s="1">
        <v>-3.3217401612269916E-2</v>
      </c>
      <c r="X1" s="1">
        <v>2.6611678325037964</v>
      </c>
      <c r="Y1" s="1">
        <v>6.4058761024968491E-2</v>
      </c>
      <c r="AA1" s="1">
        <v>-0.14990464170304602</v>
      </c>
    </row>
    <row r="2" spans="1:30" ht="26.25" customHeight="1" x14ac:dyDescent="0.25">
      <c r="A2" s="1">
        <v>2.5649604039035878E-2</v>
      </c>
      <c r="B2" s="1">
        <v>6.4904536826494302E-2</v>
      </c>
      <c r="C2" s="1">
        <v>-0.37230521944702027</v>
      </c>
      <c r="D2" s="1">
        <v>9.4950307427403846E-3</v>
      </c>
      <c r="E2" s="1">
        <v>7.753422213307809E-2</v>
      </c>
      <c r="F2" s="1">
        <v>5.8260944156811517E-2</v>
      </c>
      <c r="G2" s="1">
        <v>-0.51865111394577079</v>
      </c>
      <c r="H2" s="1">
        <v>-3.2838542313117753</v>
      </c>
      <c r="I2" s="1">
        <v>2.9560259264207054</v>
      </c>
      <c r="J2" s="1">
        <v>-9.9187785621936225E-2</v>
      </c>
      <c r="K2" s="1">
        <v>1.0204946654367636E-2</v>
      </c>
      <c r="L2" s="1">
        <v>2.8745389791703171</v>
      </c>
      <c r="M2" s="1">
        <v>-3.3189254390204899</v>
      </c>
      <c r="N2" s="1">
        <v>2.9187210186209582</v>
      </c>
      <c r="O2" s="1">
        <v>-5.7458127332507707E-2</v>
      </c>
      <c r="P2" s="1">
        <v>-2.4156442469700473E-2</v>
      </c>
      <c r="Q2" s="1">
        <v>2.9530913923137683</v>
      </c>
      <c r="R2" s="1">
        <v>-3.2752973390890068</v>
      </c>
      <c r="S2" s="1">
        <v>2.9326458276803695</v>
      </c>
      <c r="T2" s="1">
        <v>-5.3144596151639467E-2</v>
      </c>
      <c r="U2" s="1">
        <v>6.6201420032962671E-2</v>
      </c>
      <c r="V2" s="1">
        <v>-3.3419518695701784</v>
      </c>
      <c r="W2" s="1">
        <v>-0.35565218922510861</v>
      </c>
      <c r="X2" s="1">
        <v>-3.266665572935008</v>
      </c>
      <c r="Y2" s="1">
        <v>-6.8264652823033678E-2</v>
      </c>
      <c r="AA2" s="1">
        <v>-0.34844774555633568</v>
      </c>
    </row>
    <row r="3" spans="1:30" ht="26.25" customHeight="1" x14ac:dyDescent="0.25">
      <c r="A3" s="1">
        <v>-9.0566003500842818E-2</v>
      </c>
      <c r="B3" s="1">
        <v>4.3473957322121115E-2</v>
      </c>
      <c r="C3" s="1">
        <v>-0.19414291594412927</v>
      </c>
      <c r="D3" s="1">
        <v>4.0143110900017709E-2</v>
      </c>
      <c r="E3" s="1">
        <v>-7.2095531168412663E-3</v>
      </c>
      <c r="F3" s="1">
        <v>-5.6128875026228521E-2</v>
      </c>
      <c r="G3" s="1">
        <v>-5.9434813693698435E-2</v>
      </c>
      <c r="H3" s="1">
        <v>2.6942444886658614</v>
      </c>
      <c r="I3" s="1">
        <v>-2.9084102493023627</v>
      </c>
      <c r="J3" s="1">
        <v>-2.5070294209493832E-2</v>
      </c>
      <c r="K3" s="1">
        <v>-7.1185430227403007E-2</v>
      </c>
      <c r="L3" s="1">
        <v>-3.0017057452793847</v>
      </c>
      <c r="M3" s="1">
        <v>2.8206733466072884</v>
      </c>
      <c r="N3" s="1">
        <v>-2.8971082488356661</v>
      </c>
      <c r="O3" s="1">
        <v>5.6664041885521599E-2</v>
      </c>
      <c r="P3" s="1">
        <v>-7.4613224924665364E-2</v>
      </c>
      <c r="Q3" s="1">
        <v>-2.9292724395257044</v>
      </c>
      <c r="R3" s="1">
        <v>2.8357390994953824</v>
      </c>
      <c r="S3" s="1">
        <v>-2.9427803758266715</v>
      </c>
      <c r="T3" s="1">
        <v>6.6662868860491803E-2</v>
      </c>
      <c r="U3" s="1">
        <v>6.6708435256582627E-2</v>
      </c>
      <c r="V3" s="1">
        <v>2.8327261594188502</v>
      </c>
      <c r="W3" s="1">
        <v>-0.18214754022525814</v>
      </c>
      <c r="X3" s="1">
        <v>2.814246972897724</v>
      </c>
      <c r="Y3" s="1">
        <v>5.5668072563312909E-2</v>
      </c>
      <c r="AA3" s="1">
        <v>-2.616462495392307E-2</v>
      </c>
    </row>
    <row r="4" spans="1:30" ht="26.25" customHeight="1" x14ac:dyDescent="0.25">
      <c r="A4" s="1">
        <v>7.197796976460194E-2</v>
      </c>
      <c r="B4" s="1">
        <v>-9.7206151223704157E-2</v>
      </c>
      <c r="C4" s="1">
        <v>-0.13664664993944392</v>
      </c>
      <c r="D4" s="1">
        <v>1.8068623490929081E-2</v>
      </c>
      <c r="E4" s="1">
        <v>-2.3504755067657548E-2</v>
      </c>
      <c r="F4" s="1">
        <v>2.34006646201044E-2</v>
      </c>
      <c r="G4" s="1">
        <v>-0.17668720517479014</v>
      </c>
      <c r="H4" s="1">
        <v>-1.0005139575367721</v>
      </c>
      <c r="I4" s="1">
        <v>0.68994634211844885</v>
      </c>
      <c r="J4" s="1">
        <v>-3.4716808348869588E-2</v>
      </c>
      <c r="K4" s="1">
        <v>-4.0808856781069672E-2</v>
      </c>
      <c r="L4" s="1">
        <v>0.7972719957710368</v>
      </c>
      <c r="M4" s="1">
        <v>-0.82052058405459471</v>
      </c>
      <c r="N4" s="1">
        <v>0.80601608433877936</v>
      </c>
      <c r="O4" s="1">
        <v>-3.3232695304008061E-2</v>
      </c>
      <c r="P4" s="1">
        <v>4.1700656599720304E-2</v>
      </c>
      <c r="Q4" s="1">
        <v>0.87336416806397321</v>
      </c>
      <c r="R4" s="1">
        <v>-1.0112318293673042</v>
      </c>
      <c r="S4" s="1">
        <v>0.79363787447477263</v>
      </c>
      <c r="T4" s="1">
        <v>-8.406461600714997E-2</v>
      </c>
      <c r="U4" s="1">
        <v>5.8150749887443148E-2</v>
      </c>
      <c r="V4" s="1">
        <v>-0.96010485842782711</v>
      </c>
      <c r="W4" s="1">
        <v>-0.18895135719522566</v>
      </c>
      <c r="X4" s="1">
        <v>-0.85745564016128739</v>
      </c>
      <c r="Y4" s="1">
        <v>-8.2803314234636813E-2</v>
      </c>
      <c r="AA4" s="1">
        <v>-0.2058852562504157</v>
      </c>
    </row>
    <row r="5" spans="1:30" ht="26.25" customHeight="1" x14ac:dyDescent="0.25">
      <c r="A5" s="1">
        <v>-1.9982078932544889E-2</v>
      </c>
      <c r="B5" s="1">
        <v>8.1065260198541905E-2</v>
      </c>
      <c r="C5" s="1">
        <v>-0.15208394755359714</v>
      </c>
      <c r="D5" s="1">
        <v>2.5668043892330766E-2</v>
      </c>
      <c r="E5" s="1">
        <v>-9.8472548082908673E-2</v>
      </c>
      <c r="F5" s="1">
        <v>-5.6623020437456865E-2</v>
      </c>
      <c r="G5" s="1">
        <v>-1.1931382686090203E-2</v>
      </c>
      <c r="H5" s="1">
        <v>-2.4512628588146561</v>
      </c>
      <c r="I5" s="1">
        <v>2.5191365997705351</v>
      </c>
      <c r="J5" s="1">
        <v>-3.1485665768274107E-3</v>
      </c>
      <c r="K5" s="1">
        <v>3.1661212036610487E-2</v>
      </c>
      <c r="L5" s="1">
        <v>2.3961966044886172</v>
      </c>
      <c r="M5" s="1">
        <v>-2.4657873860436843</v>
      </c>
      <c r="N5" s="1">
        <v>2.4905994202895001</v>
      </c>
      <c r="O5" s="1">
        <v>-1.5376136820575523E-2</v>
      </c>
      <c r="P5" s="1">
        <v>-6.3709999300106374E-2</v>
      </c>
      <c r="Q5" s="1">
        <v>2.4212702336202732</v>
      </c>
      <c r="R5" s="1">
        <v>-2.5125153541468874</v>
      </c>
      <c r="S5" s="1">
        <v>2.4917627814430183</v>
      </c>
      <c r="T5" s="1">
        <v>-4.9090646784820474E-2</v>
      </c>
      <c r="U5" s="1">
        <v>-4.2812263700308842E-2</v>
      </c>
      <c r="V5" s="1">
        <v>-2.562872690237445</v>
      </c>
      <c r="W5" s="1">
        <v>-3.264011586016689E-3</v>
      </c>
      <c r="X5" s="1">
        <v>-2.4774575978388822</v>
      </c>
      <c r="Y5" s="1">
        <v>7.1550121379769543E-2</v>
      </c>
      <c r="AA5" s="1">
        <v>-5.9814877939133482E-2</v>
      </c>
    </row>
    <row r="10" spans="1:30" ht="26.25" customHeight="1" x14ac:dyDescent="0.25">
      <c r="A10" s="1">
        <v>-2.8990502764263795</v>
      </c>
      <c r="B10" s="1">
        <v>9.9999999938214525</v>
      </c>
      <c r="C10" s="1">
        <v>-8.8074911229440183</v>
      </c>
      <c r="D10" s="1">
        <v>2.6306340850075975</v>
      </c>
      <c r="E10" s="1">
        <v>0.7515120208250663</v>
      </c>
      <c r="G10" s="4"/>
      <c r="AB10" s="1">
        <v>-2.1757905206383956</v>
      </c>
      <c r="AD10" s="1" t="s">
        <v>31</v>
      </c>
    </row>
    <row r="11" spans="1:30" ht="26.25" customHeight="1" x14ac:dyDescent="0.25">
      <c r="A11" s="1">
        <v>1.4948806991136927</v>
      </c>
      <c r="B11" s="1">
        <v>-10</v>
      </c>
      <c r="C11" s="1">
        <v>7.6440786361438784</v>
      </c>
      <c r="D11" s="1">
        <v>-3.0978680972922006</v>
      </c>
      <c r="E11" s="1">
        <v>-0.62178024572543134</v>
      </c>
      <c r="G11" s="4"/>
      <c r="AB11" s="1">
        <v>0.63602115517554092</v>
      </c>
      <c r="AD11" s="1">
        <f>Allenamento!AK2</f>
        <v>3.5586144570434828E-9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8DB9D-80BC-4018-A4D1-B76342955B23}">
  <dimension ref="A1:AK8"/>
  <sheetViews>
    <sheetView workbookViewId="0">
      <selection activeCell="E5" sqref="E5"/>
    </sheetView>
  </sheetViews>
  <sheetFormatPr defaultRowHeight="15" x14ac:dyDescent="0.25"/>
  <cols>
    <col min="1" max="25" width="5" customWidth="1"/>
    <col min="26" max="27" width="7.85546875" bestFit="1" customWidth="1"/>
    <col min="37" max="37" width="10.140625" customWidth="1"/>
  </cols>
  <sheetData>
    <row r="1" spans="1:37" ht="26.25" customHeight="1" x14ac:dyDescent="0.25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5" t="s">
        <v>27</v>
      </c>
      <c r="AD1" s="5" t="s">
        <v>27</v>
      </c>
      <c r="AE1" s="5" t="s">
        <v>27</v>
      </c>
      <c r="AF1" s="5" t="s">
        <v>27</v>
      </c>
      <c r="AG1" s="5" t="s">
        <v>28</v>
      </c>
      <c r="AH1" s="5" t="s">
        <v>28</v>
      </c>
      <c r="AI1" s="5" t="s">
        <v>29</v>
      </c>
      <c r="AK1" s="1" t="s">
        <v>30</v>
      </c>
    </row>
    <row r="2" spans="1:37" x14ac:dyDescent="0.25">
      <c r="A2">
        <v>0</v>
      </c>
      <c r="B2">
        <v>0</v>
      </c>
      <c r="C2">
        <v>1</v>
      </c>
      <c r="D2" s="1">
        <v>0</v>
      </c>
      <c r="E2" s="1">
        <v>0</v>
      </c>
      <c r="F2" s="1">
        <v>0</v>
      </c>
      <c r="G2" s="1">
        <v>1</v>
      </c>
      <c r="H2" s="1">
        <v>0</v>
      </c>
      <c r="I2" s="1">
        <v>1</v>
      </c>
      <c r="J2" s="1">
        <v>0</v>
      </c>
      <c r="K2" s="1">
        <v>0</v>
      </c>
      <c r="L2" s="1">
        <v>1</v>
      </c>
      <c r="M2" s="1">
        <v>0</v>
      </c>
      <c r="N2" s="1">
        <v>1</v>
      </c>
      <c r="O2" s="1">
        <v>0</v>
      </c>
      <c r="P2" s="1">
        <v>0</v>
      </c>
      <c r="Q2" s="1">
        <v>1</v>
      </c>
      <c r="R2" s="1">
        <v>0</v>
      </c>
      <c r="S2" s="1">
        <v>1</v>
      </c>
      <c r="T2" s="1">
        <v>0</v>
      </c>
      <c r="U2" s="1">
        <v>0</v>
      </c>
      <c r="V2" s="1">
        <v>0</v>
      </c>
      <c r="W2" s="1">
        <v>1</v>
      </c>
      <c r="X2" s="1">
        <v>0</v>
      </c>
      <c r="Y2" s="1">
        <v>0</v>
      </c>
      <c r="Z2" s="1">
        <v>1</v>
      </c>
      <c r="AA2" s="1">
        <v>0</v>
      </c>
      <c r="AB2" s="1">
        <f t="array" ref="AB2:AF2">1 / (1 + EXP(-(MMULT(A2:Y2, TRANSPOSE(Pesi!A1:Y5)) + TRANSPOSE(Pesi!AA1:AA5))))</f>
        <v>1.0510159679901144E-6</v>
      </c>
      <c r="AC2" s="1">
        <v>0.99999782823215677</v>
      </c>
      <c r="AD2" s="1">
        <v>2.6562847388039027E-7</v>
      </c>
      <c r="AE2" s="1">
        <v>0.96274728039631718</v>
      </c>
      <c r="AF2" s="1">
        <v>0.9999943951430561</v>
      </c>
      <c r="AG2" s="1">
        <f t="array" ref="AG2:AH2">1 / (1 + EXP(-(MMULT(AB2:AF2, TRANSPOSE(Pesi!A10:E11)) + TRANSPOSE(Pesi!AB10:AB11))))</f>
        <v>0.99998501320346822</v>
      </c>
      <c r="AH2" s="1">
        <v>2.3333706488943522E-6</v>
      </c>
      <c r="AI2" s="1">
        <f>(Z2-AG2)^2 + (AA2-AH2)^2</f>
        <v>2.300486888700824E-10</v>
      </c>
      <c r="AK2" s="7">
        <f>SUM(AI2:AI3)</f>
        <v>3.5586144570434828E-9</v>
      </c>
    </row>
    <row r="3" spans="1:37" x14ac:dyDescent="0.25">
      <c r="A3">
        <v>0</v>
      </c>
      <c r="B3">
        <v>0</v>
      </c>
      <c r="C3">
        <v>1</v>
      </c>
      <c r="D3" s="1">
        <v>0</v>
      </c>
      <c r="E3" s="1">
        <v>0</v>
      </c>
      <c r="F3" s="1">
        <v>0</v>
      </c>
      <c r="G3" s="1">
        <v>1</v>
      </c>
      <c r="H3" s="1">
        <v>1</v>
      </c>
      <c r="I3" s="1">
        <v>0</v>
      </c>
      <c r="J3" s="1">
        <v>0</v>
      </c>
      <c r="K3" s="1">
        <v>0</v>
      </c>
      <c r="L3" s="1">
        <v>0</v>
      </c>
      <c r="M3" s="1">
        <v>1</v>
      </c>
      <c r="N3" s="1">
        <v>0</v>
      </c>
      <c r="O3" s="1">
        <v>0</v>
      </c>
      <c r="P3" s="1">
        <v>0</v>
      </c>
      <c r="Q3" s="1">
        <v>0</v>
      </c>
      <c r="R3" s="1">
        <v>1</v>
      </c>
      <c r="S3" s="1">
        <v>0</v>
      </c>
      <c r="T3" s="1">
        <v>0</v>
      </c>
      <c r="U3" s="1">
        <v>0</v>
      </c>
      <c r="V3" s="1">
        <v>1</v>
      </c>
      <c r="W3" s="1">
        <v>1</v>
      </c>
      <c r="X3" s="1">
        <v>1</v>
      </c>
      <c r="Y3" s="1">
        <v>0</v>
      </c>
      <c r="Z3" s="1">
        <v>0</v>
      </c>
      <c r="AA3" s="1">
        <v>1</v>
      </c>
      <c r="AB3" s="1">
        <f t="array" ref="AB3:AF3">1 / (1 + EXP(-(MMULT(A3:Y3, TRANSPOSE(Pesi!A1:Y5)) + TRANSPOSE(Pesi!AA1:AA5))))</f>
        <v>0.99999628043046862</v>
      </c>
      <c r="AC3" s="1">
        <v>1.4034451143950928E-8</v>
      </c>
      <c r="AD3" s="1">
        <v>0.99999867717571223</v>
      </c>
      <c r="AE3" s="1">
        <v>4.6882466779086373E-3</v>
      </c>
      <c r="AF3" s="1">
        <v>3.0603135890632994E-6</v>
      </c>
      <c r="AG3" s="1">
        <f t="array" ref="AG3:AH3">1 / (1 + EXP(-(MMULT(AB3:AF3, TRANSPOSE(Pesi!A10:E11)) + TRANSPOSE(Pesi!AB10:AB11))))</f>
        <v>9.4699224642935966E-7</v>
      </c>
      <c r="AH3" s="1">
        <v>0.99994231404873057</v>
      </c>
      <c r="AI3" s="1">
        <f>(Z3-AG3)^2 + (AA3-AH3)^2</f>
        <v>3.3285657681734005E-9</v>
      </c>
    </row>
    <row r="8" spans="1:37" x14ac:dyDescent="0.25">
      <c r="J8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Display</vt:lpstr>
      <vt:lpstr>Pesi</vt:lpstr>
      <vt:lpstr>Allenamento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Saverio Maria Piersigilli</dc:creator>
  <cp:lastModifiedBy>Saverio Maria Piersigilli</cp:lastModifiedBy>
  <dcterms:created xsi:type="dcterms:W3CDTF">2026-01-09T19:46:54Z</dcterms:created>
  <dcterms:modified xsi:type="dcterms:W3CDTF">2026-01-09T22:05:22Z</dcterms:modified>
</cp:coreProperties>
</file>